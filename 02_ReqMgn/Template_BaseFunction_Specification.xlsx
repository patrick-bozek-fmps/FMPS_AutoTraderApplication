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rksite-my.sharepoint.com/personal/bozekpat_schaeffler_com/Documents/Persönlich/"/>
    </mc:Choice>
  </mc:AlternateContent>
  <xr:revisionPtr revIDLastSave="62" documentId="8_{AD59FEB2-BCCF-45AB-82B6-D283955E285B}" xr6:coauthVersionLast="47" xr6:coauthVersionMax="47" xr10:uidLastSave="{501D5E60-F6EF-4AF4-B522-D4D8C681A18F}"/>
  <bookViews>
    <workbookView xWindow="-120" yWindow="-120" windowWidth="29040" windowHeight="15720" xr2:uid="{CDDBDED4-4DFE-4FEE-B345-BB3B0A32B25A}"/>
  </bookViews>
  <sheets>
    <sheet name="Requirements" sheetId="1" r:id="rId1"/>
    <sheet name="Configuration" sheetId="2" r:id="rId2"/>
    <sheet name="KPI" sheetId="3" r:id="rId3"/>
  </sheets>
  <definedNames>
    <definedName name="_xlnm._FilterDatabase" localSheetId="0" hidden="1">Requirements!$A$1:$J$19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A19" i="1"/>
  <c r="A11" i="1"/>
  <c r="A12" i="1"/>
  <c r="A13" i="1"/>
  <c r="A14" i="1"/>
  <c r="A15" i="1"/>
  <c r="A16" i="1"/>
  <c r="A17" i="1"/>
  <c r="A18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<sst xmlns="http://schemas.openxmlformats.org/spreadsheetml/2006/main" count="109" uniqueCount="45">
  <si>
    <t>Requirement Type</t>
  </si>
  <si>
    <t>Requirements Status</t>
  </si>
  <si>
    <t>Requirement Description</t>
  </si>
  <si>
    <t>Test Case Description</t>
  </si>
  <si>
    <t>Test Case Status</t>
  </si>
  <si>
    <t>ID Prefix</t>
  </si>
  <si>
    <t>Requirement Status</t>
  </si>
  <si>
    <t>Test Status</t>
  </si>
  <si>
    <t>Information</t>
  </si>
  <si>
    <t>Function</t>
  </si>
  <si>
    <t>Non Function</t>
  </si>
  <si>
    <t>Standard</t>
  </si>
  <si>
    <t>New</t>
  </si>
  <si>
    <t>Changed</t>
  </si>
  <si>
    <t>Review</t>
  </si>
  <si>
    <t>Customer Release</t>
  </si>
  <si>
    <t>Reviewed</t>
  </si>
  <si>
    <t>Rejected</t>
  </si>
  <si>
    <t>Linked Requirements</t>
  </si>
  <si>
    <t>Test Case ID</t>
  </si>
  <si>
    <t>Requirement ID</t>
  </si>
  <si>
    <t>Test Type</t>
  </si>
  <si>
    <t>Automatic</t>
  </si>
  <si>
    <t>Manual</t>
  </si>
  <si>
    <t>Inputs</t>
  </si>
  <si>
    <t>Outputs</t>
  </si>
  <si>
    <t>Parameter</t>
  </si>
  <si>
    <t>General</t>
  </si>
  <si>
    <t>Heading</t>
  </si>
  <si>
    <t>Sub-heading</t>
  </si>
  <si>
    <t>Interface</t>
  </si>
  <si>
    <t>No</t>
  </si>
  <si>
    <t>Template_BfctSpec</t>
  </si>
  <si>
    <t>Definition of terms</t>
  </si>
  <si>
    <t>Abbreviations</t>
  </si>
  <si>
    <t>Base Function &lt;Name&gt;</t>
  </si>
  <si>
    <t>Short Description</t>
  </si>
  <si>
    <t>Processing</t>
  </si>
  <si>
    <t>Support Function &lt;Name&gt;</t>
  </si>
  <si>
    <t>Resource consuption</t>
  </si>
  <si>
    <t>Applicable documents</t>
  </si>
  <si>
    <t>Appendices and References</t>
  </si>
  <si>
    <t>Inputs (Internal)</t>
  </si>
  <si>
    <t>Outputs (Internal)</t>
  </si>
  <si>
    <t>Parameter (Internal)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</si>
</sst>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</cellXfs>
  <cellStyles count="1">
    <cellStyle name="Standard" xfId="0" builtinId="0"/>
  </cellStyles>
  <dxfs count="7"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82CA4B-379A-4ECF-B196-20E0446DEA32}" name="Tabelle1" displayName="Tabelle1" ref="A1:J19" totalsRowShown="0" headerRowDxfId="6">
  <autoFilter ref="A1:J19" xr:uid="{8282CA4B-379A-4ECF-B196-20E0446DEA32}"/>
  <tableColumns count="10">
    <tableColumn id="1" xr3:uid="{CAC926C1-F947-4BFE-A0A8-4F6DADDA15AE}" name="Requirement ID" dataDxfId="5">
      <calculatedColumnFormula>IF(B2="","",CONCATENATE(Configuration!$A$2,"_",ROW(B2)-1))</calculatedColumnFormula>
    </tableColumn>
    <tableColumn id="2" xr3:uid="{29E3E7F8-7D9B-43AA-B078-C3DCDBF7AE52}" name="Requirement Type" dataDxfId="4"/>
    <tableColumn id="3" xr3:uid="{192841C0-6475-4F27-95F8-7425F3BBFD8C}" name="Requirement Description"/>
    <tableColumn id="4" xr3:uid="{7A06AACF-2D52-41C1-9EA9-E9613B007B85}" name="Requirements Status" dataDxfId="3"/>
    <tableColumn id="5" xr3:uid="{3105E21E-D770-48D0-801C-3214FE9CC14D}" name="Customer Release"/>
    <tableColumn id="6" xr3:uid="{6B006E64-82BE-4E38-ACA8-417DCD39AC2D}" name="Test Case ID" dataDxfId="0">
      <calculatedColumnFormula>IF(OR(G2="",G2="No"),"",CONCATENATE(Configuration!$A$2,"_TC_",ROW(B2)-1))</calculatedColumnFormula>
    </tableColumn>
    <tableColumn id="7" xr3:uid="{12E644E0-554F-41BF-B308-384FD34B931B}" name="Test Type" dataDxfId="2"/>
    <tableColumn id="8" xr3:uid="{CDB5BE33-CC4D-4683-848D-8E519EB0E90B}" name="Test Case Description"/>
    <tableColumn id="9" xr3:uid="{1B6F6934-CB11-4737-B224-BB6E31099CCC}" name="Test Case Status" dataDxfId="1"/>
    <tableColumn id="10" xr3:uid="{68F06691-1691-4B0F-9ED9-2A831F470103}" name="Linked Requirem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31C47-45A9-4ED8-916F-7BC7DB23EFEB}">
  <dimension ref="A1:J24"/>
  <sheetViews>
    <sheetView tabSelected="1" zoomScale="115" zoomScaleNormal="115" workbookViewId="0">
      <selection activeCell="C25" sqref="C25"/>
    </sheetView>
  </sheetViews>
  <sheetFormatPr baseColWidth="10" defaultRowHeight="15" x14ac:dyDescent="0.25"/>
  <cols>
    <col min="1" max="1" width="20.5703125" style="1" bestFit="1" customWidth="1"/>
    <col min="2" max="2" width="22.28515625" style="1" bestFit="1" customWidth="1"/>
    <col min="3" max="3" width="175.7109375" customWidth="1"/>
    <col min="4" max="4" width="22.140625" style="1" customWidth="1"/>
    <col min="5" max="5" width="19.85546875" customWidth="1"/>
    <col min="6" max="6" width="16.85546875" style="1" bestFit="1" customWidth="1"/>
    <col min="7" max="7" width="14.140625" style="1" bestFit="1" customWidth="1"/>
    <col min="8" max="8" width="23" customWidth="1"/>
    <col min="9" max="9" width="18.140625" style="1" customWidth="1"/>
    <col min="10" max="10" width="22.42578125" customWidth="1"/>
  </cols>
  <sheetData>
    <row r="1" spans="1:10" s="1" customFormat="1" x14ac:dyDescent="0.25">
      <c r="A1" s="1" t="s">
        <v>20</v>
      </c>
      <c r="B1" s="1" t="s">
        <v>0</v>
      </c>
      <c r="C1" s="1" t="s">
        <v>2</v>
      </c>
      <c r="D1" s="1" t="s">
        <v>1</v>
      </c>
      <c r="E1" s="1" t="s">
        <v>15</v>
      </c>
      <c r="F1" s="1" t="s">
        <v>19</v>
      </c>
      <c r="G1" s="1" t="s">
        <v>21</v>
      </c>
      <c r="H1" s="1" t="s">
        <v>3</v>
      </c>
      <c r="I1" s="1" t="s">
        <v>4</v>
      </c>
      <c r="J1" s="1" t="s">
        <v>18</v>
      </c>
    </row>
    <row r="2" spans="1:10" x14ac:dyDescent="0.25">
      <c r="A2" s="1" t="str">
        <f>IF(B2="","",CONCATENATE(Configuration!$A$2,"_",ROW(B2)-1))</f>
        <v>Template_BfctSpec_1</v>
      </c>
      <c r="B2" s="1" t="s">
        <v>28</v>
      </c>
      <c r="C2" t="s">
        <v>27</v>
      </c>
      <c r="D2" s="1" t="s">
        <v>16</v>
      </c>
      <c r="F2" s="1" t="str">
        <f>IF(OR(G2="",G2="No"),"",CONCATENATE(Configuration!$A$2,"_TC_",ROW(B2)-1))</f>
        <v/>
      </c>
      <c r="G2" s="1" t="s">
        <v>31</v>
      </c>
    </row>
    <row r="3" spans="1:10" x14ac:dyDescent="0.25">
      <c r="A3" s="1" t="str">
        <f>IF(B3="","",CONCATENATE(Configuration!$A$2,"_",ROW(B3)-1))</f>
        <v>Template_BfctSpec_2</v>
      </c>
      <c r="B3" s="1" t="s">
        <v>29</v>
      </c>
      <c r="C3" t="s">
        <v>33</v>
      </c>
      <c r="D3" s="1" t="s">
        <v>16</v>
      </c>
      <c r="F3" s="1" t="str">
        <f>IF(OR(G3="",G3="No"),"",CONCATENATE(Configuration!$A$2,"_TC_",ROW(B3)-1))</f>
        <v/>
      </c>
      <c r="G3" s="1" t="s">
        <v>31</v>
      </c>
    </row>
    <row r="4" spans="1:10" x14ac:dyDescent="0.25">
      <c r="A4" s="1" t="str">
        <f>IF(B4="","",CONCATENATE(Configuration!$A$2,"_",ROW(B4)-1))</f>
        <v>Template_BfctSpec_3</v>
      </c>
      <c r="B4" s="1" t="s">
        <v>29</v>
      </c>
      <c r="C4" t="s">
        <v>34</v>
      </c>
      <c r="D4" s="1" t="s">
        <v>16</v>
      </c>
      <c r="F4" s="1" t="str">
        <f>IF(OR(G4="",G4="No"),"",CONCATENATE(Configuration!$A$2,"_TC_",ROW(B4)-1))</f>
        <v/>
      </c>
      <c r="G4" s="1" t="s">
        <v>31</v>
      </c>
    </row>
    <row r="5" spans="1:10" x14ac:dyDescent="0.25">
      <c r="A5" s="1" t="str">
        <f>IF(B5="","",CONCATENATE(Configuration!$A$2,"_",ROW(B5)-1))</f>
        <v>Template_BfctSpec_4</v>
      </c>
      <c r="B5" s="1" t="s">
        <v>28</v>
      </c>
      <c r="C5" t="s">
        <v>35</v>
      </c>
      <c r="D5" s="1" t="s">
        <v>16</v>
      </c>
      <c r="F5" s="1" t="str">
        <f>IF(OR(G5="",G5="No"),"",CONCATENATE(Configuration!$A$2,"_TC_",ROW(B5)-1))</f>
        <v/>
      </c>
      <c r="G5" s="1" t="s">
        <v>31</v>
      </c>
    </row>
    <row r="6" spans="1:10" x14ac:dyDescent="0.25">
      <c r="A6" s="1" t="str">
        <f>IF(B6="","",CONCATENATE(Configuration!$A$2,"_",ROW(B6)-1))</f>
        <v>Template_BfctSpec_5</v>
      </c>
      <c r="B6" s="1" t="s">
        <v>29</v>
      </c>
      <c r="C6" t="s">
        <v>36</v>
      </c>
      <c r="D6" s="1" t="s">
        <v>16</v>
      </c>
      <c r="F6" s="1" t="str">
        <f>IF(OR(G6="",G6="No"),"",CONCATENATE(Configuration!$A$2,"_TC_",ROW(B6)-1))</f>
        <v/>
      </c>
      <c r="G6" s="1" t="s">
        <v>31</v>
      </c>
    </row>
    <row r="7" spans="1:10" x14ac:dyDescent="0.25">
      <c r="A7" s="1" t="str">
        <f>IF(B7="","",CONCATENATE(Configuration!$A$2,"_",ROW(B7)-1))</f>
        <v>Template_BfctSpec_6</v>
      </c>
      <c r="B7" s="1" t="s">
        <v>29</v>
      </c>
      <c r="C7" t="s">
        <v>24</v>
      </c>
      <c r="D7" s="1" t="s">
        <v>16</v>
      </c>
      <c r="F7" s="1" t="str">
        <f>IF(OR(G7="",G7="No"),"",CONCATENATE(Configuration!$A$2,"_TC_",ROW(B7)-1))</f>
        <v/>
      </c>
      <c r="G7" s="1" t="s">
        <v>31</v>
      </c>
    </row>
    <row r="8" spans="1:10" x14ac:dyDescent="0.25">
      <c r="A8" s="1" t="str">
        <f>IF(B8="","",CONCATENATE(Configuration!$A$2,"_",ROW(B8)-1))</f>
        <v>Template_BfctSpec_7</v>
      </c>
      <c r="B8" s="1" t="s">
        <v>29</v>
      </c>
      <c r="C8" t="s">
        <v>25</v>
      </c>
      <c r="D8" s="1" t="s">
        <v>16</v>
      </c>
      <c r="F8" s="1" t="str">
        <f>IF(OR(G8="",G8="No"),"",CONCATENATE(Configuration!$A$2,"_TC_",ROW(B8)-1))</f>
        <v/>
      </c>
      <c r="G8" s="1" t="s">
        <v>31</v>
      </c>
    </row>
    <row r="9" spans="1:10" x14ac:dyDescent="0.25">
      <c r="A9" s="1" t="str">
        <f>IF(B9="","",CONCATENATE(Configuration!$A$2,"_",ROW(B9)-1))</f>
        <v>Template_BfctSpec_8</v>
      </c>
      <c r="B9" s="1" t="s">
        <v>29</v>
      </c>
      <c r="C9" t="s">
        <v>26</v>
      </c>
      <c r="D9" s="1" t="s">
        <v>16</v>
      </c>
      <c r="F9" s="1" t="str">
        <f>IF(OR(G9="",G9="No"),"",CONCATENATE(Configuration!$A$2,"_TC_",ROW(B9)-1))</f>
        <v/>
      </c>
      <c r="G9" s="1" t="s">
        <v>31</v>
      </c>
    </row>
    <row r="10" spans="1:10" x14ac:dyDescent="0.25">
      <c r="A10" s="1" t="str">
        <f>IF(B10="","",CONCATENATE(Configuration!$A$2,"_",ROW(B10)-1))</f>
        <v>Template_BfctSpec_9</v>
      </c>
      <c r="B10" s="1" t="s">
        <v>29</v>
      </c>
      <c r="C10" t="s">
        <v>37</v>
      </c>
      <c r="D10" s="1" t="s">
        <v>16</v>
      </c>
      <c r="F10" s="1" t="str">
        <f>IF(OR(G10="",G10="No"),"",CONCATENATE(Configuration!$A$2,"_TC_",ROW(B10)-1))</f>
        <v/>
      </c>
      <c r="G10" s="1" t="s">
        <v>31</v>
      </c>
    </row>
    <row r="11" spans="1:10" x14ac:dyDescent="0.25">
      <c r="A11" s="1" t="str">
        <f>IF(B11="","",CONCATENATE(Configuration!$A$2,"_",ROW(B11)-1))</f>
        <v>Template_BfctSpec_10</v>
      </c>
      <c r="B11" s="1" t="s">
        <v>29</v>
      </c>
      <c r="C11" t="s">
        <v>39</v>
      </c>
      <c r="D11" s="1" t="s">
        <v>16</v>
      </c>
      <c r="F11" s="1" t="str">
        <f>IF(OR(G11="",G11="No"),"",CONCATENATE(Configuration!$A$2,"_TC_",ROW(B11)-1))</f>
        <v/>
      </c>
      <c r="G11" s="1" t="s">
        <v>31</v>
      </c>
    </row>
    <row r="12" spans="1:10" x14ac:dyDescent="0.25">
      <c r="A12" s="1" t="str">
        <f>IF(B12="","",CONCATENATE(Configuration!$A$2,"_",ROW(B12)-1))</f>
        <v>Template_BfctSpec_11</v>
      </c>
      <c r="B12" s="1" t="s">
        <v>28</v>
      </c>
      <c r="C12" t="s">
        <v>38</v>
      </c>
      <c r="D12" s="1" t="s">
        <v>16</v>
      </c>
      <c r="F12" s="1" t="str">
        <f>IF(OR(G12="",G12="No"),"",CONCATENATE(Configuration!$A$2,"_TC_",ROW(B12)-1))</f>
        <v/>
      </c>
      <c r="G12" s="1" t="s">
        <v>31</v>
      </c>
    </row>
    <row r="13" spans="1:10" x14ac:dyDescent="0.25">
      <c r="A13" s="1" t="str">
        <f>IF(B13="","",CONCATENATE(Configuration!$A$2,"_",ROW(B13)-1))</f>
        <v>Template_BfctSpec_12</v>
      </c>
      <c r="B13" s="1" t="s">
        <v>29</v>
      </c>
      <c r="C13" t="s">
        <v>36</v>
      </c>
      <c r="D13" s="1" t="s">
        <v>16</v>
      </c>
      <c r="F13" s="1" t="str">
        <f>IF(OR(G13="",G13="No"),"",CONCATENATE(Configuration!$A$2,"_TC_",ROW(B13)-1))</f>
        <v/>
      </c>
      <c r="G13" s="1" t="s">
        <v>31</v>
      </c>
    </row>
    <row r="14" spans="1:10" x14ac:dyDescent="0.25">
      <c r="A14" s="1" t="str">
        <f>IF(B14="","",CONCATENATE(Configuration!$A$2,"_",ROW(B14)-1))</f>
        <v>Template_BfctSpec_13</v>
      </c>
      <c r="B14" s="1" t="s">
        <v>29</v>
      </c>
      <c r="C14" t="s">
        <v>42</v>
      </c>
      <c r="D14" s="1" t="s">
        <v>16</v>
      </c>
      <c r="F14" s="1" t="str">
        <f>IF(OR(G14="",G14="No"),"",CONCATENATE(Configuration!$A$2,"_TC_",ROW(B14)-1))</f>
        <v/>
      </c>
      <c r="G14" s="1" t="s">
        <v>31</v>
      </c>
    </row>
    <row r="15" spans="1:10" x14ac:dyDescent="0.25">
      <c r="A15" s="1" t="str">
        <f>IF(B15="","",CONCATENATE(Configuration!$A$2,"_",ROW(B15)-1))</f>
        <v>Template_BfctSpec_14</v>
      </c>
      <c r="B15" s="1" t="s">
        <v>29</v>
      </c>
      <c r="C15" t="s">
        <v>43</v>
      </c>
      <c r="D15" s="1" t="s">
        <v>16</v>
      </c>
      <c r="F15" s="1" t="str">
        <f>IF(OR(G15="",G15="No"),"",CONCATENATE(Configuration!$A$2,"_TC_",ROW(B15)-1))</f>
        <v/>
      </c>
      <c r="G15" s="1" t="s">
        <v>31</v>
      </c>
    </row>
    <row r="16" spans="1:10" x14ac:dyDescent="0.25">
      <c r="A16" s="1" t="str">
        <f>IF(B16="","",CONCATENATE(Configuration!$A$2,"_",ROW(B16)-1))</f>
        <v>Template_BfctSpec_15</v>
      </c>
      <c r="B16" s="1" t="s">
        <v>29</v>
      </c>
      <c r="C16" t="s">
        <v>44</v>
      </c>
      <c r="D16" s="1" t="s">
        <v>16</v>
      </c>
      <c r="F16" s="1" t="str">
        <f>IF(OR(G16="",G16="No"),"",CONCATENATE(Configuration!$A$2,"_TC_",ROW(B16)-1))</f>
        <v/>
      </c>
      <c r="G16" s="1" t="s">
        <v>31</v>
      </c>
    </row>
    <row r="17" spans="1:7" x14ac:dyDescent="0.25">
      <c r="A17" s="1" t="str">
        <f>IF(B17="","",CONCATENATE(Configuration!$A$2,"_",ROW(B17)-1))</f>
        <v>Template_BfctSpec_16</v>
      </c>
      <c r="B17" s="1" t="s">
        <v>29</v>
      </c>
      <c r="C17" t="s">
        <v>37</v>
      </c>
      <c r="D17" s="1" t="s">
        <v>16</v>
      </c>
      <c r="F17" s="1" t="str">
        <f>IF(OR(G17="",G17="No"),"",CONCATENATE(Configuration!$A$2,"_TC_",ROW(B17)-1))</f>
        <v/>
      </c>
      <c r="G17" s="1" t="s">
        <v>31</v>
      </c>
    </row>
    <row r="18" spans="1:7" x14ac:dyDescent="0.25">
      <c r="A18" s="1" t="str">
        <f>IF(B18="","",CONCATENATE(Configuration!$A$2,"_",ROW(B18)-1))</f>
        <v>Template_BfctSpec_17</v>
      </c>
      <c r="B18" s="1" t="s">
        <v>28</v>
      </c>
      <c r="C18" t="s">
        <v>40</v>
      </c>
      <c r="D18" s="1" t="s">
        <v>16</v>
      </c>
      <c r="F18" s="1" t="str">
        <f>IF(OR(G18="",G18="No"),"",CONCATENATE(Configuration!$A$2,"_TC_",ROW(B18)-1))</f>
        <v/>
      </c>
      <c r="G18" s="1" t="s">
        <v>31</v>
      </c>
    </row>
    <row r="19" spans="1:7" x14ac:dyDescent="0.25">
      <c r="A19" s="1" t="str">
        <f>IF(B19="","",CONCATENATE(Configuration!$A$2,"_",ROW(B19)-1))</f>
        <v>Template_BfctSpec_18</v>
      </c>
      <c r="B19" s="1" t="s">
        <v>28</v>
      </c>
      <c r="C19" t="s">
        <v>41</v>
      </c>
      <c r="D19" s="1" t="s">
        <v>16</v>
      </c>
      <c r="F19" s="1" t="str">
        <f>IF(OR(G19="",G19="No"),"",CONCATENATE(Configuration!$A$2,"_TC_",ROW(B19)-1))</f>
        <v/>
      </c>
      <c r="G19" s="1" t="s">
        <v>31</v>
      </c>
    </row>
    <row r="24" spans="1:7" x14ac:dyDescent="0.25">
      <c r="C24" s="2"/>
    </row>
  </sheetData>
  <pageMargins left="0.7" right="0.7" top="0.78740157499999996" bottom="0.78740157499999996" header="0.3" footer="0.3"/>
  <headerFooter>
    <oddFooter>&amp;C_x000D_&amp;1#&amp;"Calibri"&amp;8&amp;K000000 INTERNAL</oddFooter>
  </headerFooter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412A1C3-59ED-4456-8B49-E1521C113359}">
          <x14:formula1>
            <xm:f>Configuration!$B$2:$B$9</xm:f>
          </x14:formula1>
          <xm:sqref>B2:B19</xm:sqref>
        </x14:dataValidation>
        <x14:dataValidation type="list" allowBlank="1" showInputMessage="1" showErrorMessage="1" xr:uid="{36EFAC8E-5F6E-4CD9-A68D-9CC1EA23F2A7}">
          <x14:formula1>
            <xm:f>Configuration!$C$2:$C$6</xm:f>
          </x14:formula1>
          <xm:sqref>D2:D19</xm:sqref>
        </x14:dataValidation>
        <x14:dataValidation type="list" allowBlank="1" showInputMessage="1" showErrorMessage="1" xr:uid="{AF58A4B9-216D-4E27-BC79-3A26FE068C30}">
          <x14:formula1>
            <xm:f>Configuration!$E$2:$E$6</xm:f>
          </x14:formula1>
          <xm:sqref>I2:I19</xm:sqref>
        </x14:dataValidation>
        <x14:dataValidation type="list" allowBlank="1" showInputMessage="1" showErrorMessage="1" xr:uid="{C384262D-E1BB-4157-9D06-D62A59903D66}">
          <x14:formula1>
            <xm:f>Configuration!$D$2:$D$4</xm:f>
          </x14:formula1>
          <xm:sqref>G2:G19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C6A32-B606-4753-AC4E-A09D86FFD84B}">
  <dimension ref="A1:E9"/>
  <sheetViews>
    <sheetView zoomScale="130" zoomScaleNormal="130" workbookViewId="0">
      <selection activeCell="A3" sqref="A3"/>
    </sheetView>
  </sheetViews>
  <sheetFormatPr baseColWidth="10" defaultRowHeight="15" x14ac:dyDescent="0.25"/>
  <cols>
    <col min="1" max="1" width="17.5703125" bestFit="1" customWidth="1"/>
    <col min="2" max="2" width="16.7109375" bestFit="1" customWidth="1"/>
    <col min="3" max="3" width="18.140625" bestFit="1" customWidth="1"/>
    <col min="4" max="4" width="18.140625" customWidth="1"/>
    <col min="5" max="5" width="10.42578125" bestFit="1" customWidth="1"/>
  </cols>
  <sheetData>
    <row r="1" spans="1:5" x14ac:dyDescent="0.25">
      <c r="A1" t="s">
        <v>5</v>
      </c>
      <c r="B1" t="s">
        <v>0</v>
      </c>
      <c r="C1" t="s">
        <v>6</v>
      </c>
      <c r="D1" t="s">
        <v>21</v>
      </c>
      <c r="E1" t="s">
        <v>7</v>
      </c>
    </row>
    <row r="2" spans="1:5" x14ac:dyDescent="0.25">
      <c r="A2" t="s">
        <v>32</v>
      </c>
      <c r="B2" t="s">
        <v>28</v>
      </c>
      <c r="C2" t="s">
        <v>12</v>
      </c>
      <c r="D2" t="s">
        <v>22</v>
      </c>
      <c r="E2" t="s">
        <v>12</v>
      </c>
    </row>
    <row r="3" spans="1:5" x14ac:dyDescent="0.25">
      <c r="B3" t="s">
        <v>8</v>
      </c>
      <c r="C3" t="s">
        <v>13</v>
      </c>
      <c r="D3" t="s">
        <v>23</v>
      </c>
      <c r="E3" t="s">
        <v>13</v>
      </c>
    </row>
    <row r="4" spans="1:5" x14ac:dyDescent="0.25">
      <c r="B4" t="s">
        <v>9</v>
      </c>
      <c r="C4" t="s">
        <v>14</v>
      </c>
      <c r="D4" t="s">
        <v>31</v>
      </c>
      <c r="E4" t="s">
        <v>14</v>
      </c>
    </row>
    <row r="5" spans="1:5" x14ac:dyDescent="0.25">
      <c r="B5" t="s">
        <v>10</v>
      </c>
      <c r="C5" t="s">
        <v>16</v>
      </c>
      <c r="E5" t="s">
        <v>16</v>
      </c>
    </row>
    <row r="6" spans="1:5" x14ac:dyDescent="0.25">
      <c r="B6" t="s">
        <v>11</v>
      </c>
      <c r="C6" t="s">
        <v>17</v>
      </c>
      <c r="E6" t="s">
        <v>17</v>
      </c>
    </row>
    <row r="7" spans="1:5" x14ac:dyDescent="0.25">
      <c r="B7" t="s">
        <v>29</v>
      </c>
    </row>
    <row r="8" spans="1:5" x14ac:dyDescent="0.25">
      <c r="B8" t="s">
        <v>30</v>
      </c>
    </row>
    <row r="9" spans="1:5" x14ac:dyDescent="0.25">
      <c r="B9" t="s">
        <v>26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D4027-ECF1-4018-8170-D3CB51EFEB70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Requirements</vt:lpstr>
      <vt:lpstr>Configuration</vt:lpstr>
      <vt:lpstr>KPI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Bozek, Patrick  AC/HZA-TSP</dc:creator>
  <cp:lastModifiedBy>Bozek, Patrick  AC/HZA-TSP</cp:lastModifiedBy>
  <dcterms:created xsi:type="dcterms:W3CDTF">2025-10-14T07:29:14Z</dcterms:created>
  <dcterms:modified xsi:type="dcterms:W3CDTF">2025-10-15T08:44:08Z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33c2d95-ffb8-4f09-8d49-eacb0a6220f7_Enabled">
    <vt:lpwstr>true</vt:lpwstr>
  </property>
  <property fmtid="{D5CDD505-2E9C-101B-9397-08002B2CF9AE}" pid="3" name="MSIP_Label_f33c2d95-ffb8-4f09-8d49-eacb0a6220f7_SetDate">
    <vt:lpwstr>2025-10-14T07:30:13Z</vt:lpwstr>
  </property>
  <property fmtid="{D5CDD505-2E9C-101B-9397-08002B2CF9AE}" pid="4" name="MSIP_Label_f33c2d95-ffb8-4f09-8d49-eacb0a6220f7_Method">
    <vt:lpwstr>Standard</vt:lpwstr>
  </property>
  <property fmtid="{D5CDD505-2E9C-101B-9397-08002B2CF9AE}" pid="5" name="MSIP_Label_f33c2d95-ffb8-4f09-8d49-eacb0a6220f7_Name">
    <vt:lpwstr>Internal</vt:lpwstr>
  </property>
  <property fmtid="{D5CDD505-2E9C-101B-9397-08002B2CF9AE}" pid="6" name="MSIP_Label_f33c2d95-ffb8-4f09-8d49-eacb0a6220f7_SiteId">
    <vt:lpwstr>67416604-6509-4014-9859-45e709f53d3f</vt:lpwstr>
  </property>
  <property fmtid="{D5CDD505-2E9C-101B-9397-08002B2CF9AE}" pid="7" name="MSIP_Label_f33c2d95-ffb8-4f09-8d49-eacb0a6220f7_ActionId">
    <vt:lpwstr>9b75d19a-4369-4682-bbec-cdabc7e7b9c0</vt:lpwstr>
  </property>
  <property fmtid="{D5CDD505-2E9C-101B-9397-08002B2CF9AE}" pid="8" name="MSIP_Label_f33c2d95-ffb8-4f09-8d49-eacb0a6220f7_ContentBits">
    <vt:lpwstr>2</vt:lpwstr>
  </property>
  <property fmtid="{D5CDD505-2E9C-101B-9397-08002B2CF9AE}" pid="9" name="MSIP_Label_f33c2d95-ffb8-4f09-8d49-eacb0a6220f7_Tag">
    <vt:lpwstr>10, 3, 0, 1</vt:lpwstr>
  </property>
</Properties>
</file>